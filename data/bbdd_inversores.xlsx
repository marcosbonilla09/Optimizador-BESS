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34644\Desktop\TFG\P.Practica\"/>
    </mc:Choice>
  </mc:AlternateContent>
  <xr:revisionPtr revIDLastSave="0" documentId="13_ncr:1_{D51CB371-AE5A-486A-87CF-55B03864D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1" i="1"/>
  <c r="L4" i="1"/>
  <c r="L19" i="1"/>
  <c r="L18" i="1"/>
  <c r="L17" i="1"/>
  <c r="L16" i="1"/>
  <c r="L15" i="1"/>
  <c r="L14" i="1"/>
  <c r="L3" i="1"/>
  <c r="L13" i="1"/>
  <c r="L12" i="1"/>
  <c r="L10" i="1"/>
</calcChain>
</file>

<file path=xl/sharedStrings.xml><?xml version="1.0" encoding="utf-8"?>
<sst xmlns="http://schemas.openxmlformats.org/spreadsheetml/2006/main" count="92" uniqueCount="38">
  <si>
    <t>Marca</t>
  </si>
  <si>
    <t>Modelo</t>
  </si>
  <si>
    <t>Fase</t>
  </si>
  <si>
    <t>P_carga_max</t>
  </si>
  <si>
    <t>P_des_max</t>
  </si>
  <si>
    <t>Eficiencia</t>
  </si>
  <si>
    <t>id_inversor</t>
  </si>
  <si>
    <t>V_bat_min</t>
  </si>
  <si>
    <t>V_bat_max</t>
  </si>
  <si>
    <t>Solis</t>
  </si>
  <si>
    <t>Mono</t>
  </si>
  <si>
    <t>S6-EH1P8K-L-PLUS</t>
  </si>
  <si>
    <t>Tri</t>
  </si>
  <si>
    <t>Tipo</t>
  </si>
  <si>
    <t>Híbrido y off-grind</t>
  </si>
  <si>
    <t>SMA</t>
  </si>
  <si>
    <t>Off-grind</t>
  </si>
  <si>
    <t>Precio_BI</t>
  </si>
  <si>
    <t>P_FV</t>
  </si>
  <si>
    <t>S5-EH1P3K-L</t>
  </si>
  <si>
    <t>S5-EH1P5K-L</t>
  </si>
  <si>
    <t>S6-EH3P8K02-NV-YD-L</t>
  </si>
  <si>
    <t>S6-EH3P10K02-NV-YD-L</t>
  </si>
  <si>
    <t>S6-EH3P12K02-NV-YD-L</t>
  </si>
  <si>
    <t>S6-EH3P15K02-NV-YD-L</t>
  </si>
  <si>
    <t>S6-EH3P18K02-NV-YD-L</t>
  </si>
  <si>
    <t>S6-EH3P5K-H</t>
  </si>
  <si>
    <t>S6-EH3P6K-H</t>
  </si>
  <si>
    <t>S6-EH3P8K-H</t>
  </si>
  <si>
    <t>S6-EH3P10K-H</t>
  </si>
  <si>
    <t>S6-EH3P12K-H</t>
  </si>
  <si>
    <t>S6-EH3P15K-H</t>
  </si>
  <si>
    <t>S6-EH3P20K-H</t>
  </si>
  <si>
    <t>S6-EH3P30K-H</t>
  </si>
  <si>
    <t>S6-EH3P40K-H</t>
  </si>
  <si>
    <t>S6-EH3P50K-H</t>
  </si>
  <si>
    <t>Sunny Island X30</t>
  </si>
  <si>
    <t>Sunny Island 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</si>
</sst>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4" fontId="0" fillId="0" borderId="0" xfId="2" applyNumberFormat="1" applyFont="1" applyFill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9"/>
  <sheetViews>
    <sheetView tabSelected="1" workbookViewId="0">
      <selection activeCell="D23" sqref="D23"/>
    </sheetView>
  </sheetViews>
  <sheetFormatPr baseColWidth="10" defaultColWidth="8.88671875" defaultRowHeight="14.4" x14ac:dyDescent="0.3"/>
  <cols>
    <col min="1" max="1" width="10.33203125" style="1" bestFit="1" customWidth="1"/>
    <col min="2" max="2" width="8.88671875" style="1"/>
    <col min="3" max="3" width="23.33203125" style="1" bestFit="1" customWidth="1"/>
    <col min="4" max="4" width="23.33203125" style="1" customWidth="1"/>
    <col min="5" max="5" width="8.88671875" style="1"/>
    <col min="6" max="6" width="10.21875" style="1" bestFit="1" customWidth="1"/>
    <col min="7" max="7" width="10.5546875" style="1" bestFit="1" customWidth="1"/>
    <col min="8" max="8" width="11.88671875" style="1" bestFit="1" customWidth="1"/>
    <col min="9" max="9" width="10.21875" style="1" bestFit="1" customWidth="1"/>
    <col min="10" max="10" width="10.21875" style="1" customWidth="1"/>
    <col min="11" max="11" width="10.88671875" style="6" bestFit="1" customWidth="1"/>
    <col min="12" max="12" width="10.77734375" style="1" bestFit="1" customWidth="1"/>
    <col min="13" max="16384" width="8.88671875" style="1"/>
  </cols>
  <sheetData>
    <row r="1" spans="1:12" x14ac:dyDescent="0.3">
      <c r="A1" s="2" t="s">
        <v>6</v>
      </c>
      <c r="B1" s="2" t="s">
        <v>0</v>
      </c>
      <c r="C1" s="2" t="s">
        <v>1</v>
      </c>
      <c r="D1" s="2" t="s">
        <v>13</v>
      </c>
      <c r="E1" s="2" t="s">
        <v>2</v>
      </c>
      <c r="F1" s="2" t="s">
        <v>7</v>
      </c>
      <c r="G1" s="2" t="s">
        <v>8</v>
      </c>
      <c r="H1" s="2" t="s">
        <v>3</v>
      </c>
      <c r="I1" s="2" t="s">
        <v>4</v>
      </c>
      <c r="J1" s="2" t="s">
        <v>18</v>
      </c>
      <c r="K1" s="2" t="s">
        <v>5</v>
      </c>
      <c r="L1" s="2" t="s">
        <v>17</v>
      </c>
    </row>
    <row r="2" spans="1:12" x14ac:dyDescent="0.3">
      <c r="A2" s="1">
        <v>1</v>
      </c>
      <c r="B2" s="1" t="s">
        <v>9</v>
      </c>
      <c r="C2" s="1" t="s">
        <v>19</v>
      </c>
      <c r="D2" s="1" t="s">
        <v>14</v>
      </c>
      <c r="E2" s="1" t="s">
        <v>10</v>
      </c>
      <c r="F2" s="1">
        <v>42</v>
      </c>
      <c r="G2" s="4">
        <v>58</v>
      </c>
      <c r="H2" s="1">
        <v>3</v>
      </c>
      <c r="I2" s="1">
        <v>3</v>
      </c>
      <c r="J2" s="1">
        <v>4.8</v>
      </c>
      <c r="K2" s="5">
        <v>0.97099999999999997</v>
      </c>
      <c r="L2" s="8">
        <v>705</v>
      </c>
    </row>
    <row r="3" spans="1:12" x14ac:dyDescent="0.3">
      <c r="A3" s="1">
        <v>2</v>
      </c>
      <c r="B3" s="1" t="s">
        <v>9</v>
      </c>
      <c r="C3" s="1" t="s">
        <v>20</v>
      </c>
      <c r="D3" s="1" t="s">
        <v>14</v>
      </c>
      <c r="E3" s="1" t="s">
        <v>10</v>
      </c>
      <c r="F3" s="1">
        <v>42</v>
      </c>
      <c r="G3" s="4">
        <v>58</v>
      </c>
      <c r="H3" s="1">
        <v>5</v>
      </c>
      <c r="I3" s="1">
        <v>5</v>
      </c>
      <c r="J3" s="1">
        <v>8</v>
      </c>
      <c r="K3" s="5">
        <v>0.97099999999999997</v>
      </c>
      <c r="L3" s="8">
        <f>907*0.79</f>
        <v>716.53000000000009</v>
      </c>
    </row>
    <row r="4" spans="1:12" x14ac:dyDescent="0.3">
      <c r="A4" s="1">
        <v>3</v>
      </c>
      <c r="B4" s="1" t="s">
        <v>9</v>
      </c>
      <c r="C4" s="1" t="s">
        <v>11</v>
      </c>
      <c r="D4" s="1" t="s">
        <v>14</v>
      </c>
      <c r="E4" s="1" t="s">
        <v>10</v>
      </c>
      <c r="F4" s="1">
        <v>40</v>
      </c>
      <c r="G4" s="4">
        <v>60</v>
      </c>
      <c r="H4" s="1">
        <v>8</v>
      </c>
      <c r="I4" s="1">
        <v>8</v>
      </c>
      <c r="J4" s="1">
        <v>12.8</v>
      </c>
      <c r="K4" s="5">
        <v>0.96199999999999997</v>
      </c>
      <c r="L4" s="8">
        <f>1889*0.79</f>
        <v>1492.3100000000002</v>
      </c>
    </row>
    <row r="5" spans="1:12" x14ac:dyDescent="0.3">
      <c r="A5" s="1">
        <v>4</v>
      </c>
      <c r="B5" s="1" t="s">
        <v>9</v>
      </c>
      <c r="C5" s="1" t="s">
        <v>21</v>
      </c>
      <c r="D5" s="1" t="s">
        <v>14</v>
      </c>
      <c r="E5" s="1" t="s">
        <v>12</v>
      </c>
      <c r="F5" s="1">
        <v>40</v>
      </c>
      <c r="G5" s="4">
        <v>60</v>
      </c>
      <c r="H5" s="1">
        <v>8</v>
      </c>
      <c r="I5" s="1">
        <v>8</v>
      </c>
      <c r="J5" s="1">
        <v>12.8</v>
      </c>
      <c r="K5" s="5">
        <v>0.97499999999999998</v>
      </c>
      <c r="L5" s="8">
        <v>1509</v>
      </c>
    </row>
    <row r="6" spans="1:12" x14ac:dyDescent="0.3">
      <c r="A6" s="1">
        <v>5</v>
      </c>
      <c r="B6" s="1" t="s">
        <v>9</v>
      </c>
      <c r="C6" s="1" t="s">
        <v>22</v>
      </c>
      <c r="D6" s="1" t="s">
        <v>14</v>
      </c>
      <c r="E6" s="1" t="s">
        <v>12</v>
      </c>
      <c r="F6" s="1">
        <v>40</v>
      </c>
      <c r="G6" s="4">
        <v>60</v>
      </c>
      <c r="H6" s="1">
        <v>10</v>
      </c>
      <c r="I6" s="1">
        <v>10</v>
      </c>
      <c r="J6" s="1">
        <v>16</v>
      </c>
      <c r="K6" s="5">
        <v>0.97499999999999998</v>
      </c>
      <c r="L6" s="8">
        <v>1685</v>
      </c>
    </row>
    <row r="7" spans="1:12" x14ac:dyDescent="0.3">
      <c r="A7" s="1">
        <v>6</v>
      </c>
      <c r="B7" s="1" t="s">
        <v>9</v>
      </c>
      <c r="C7" s="1" t="s">
        <v>23</v>
      </c>
      <c r="D7" s="1" t="s">
        <v>14</v>
      </c>
      <c r="E7" s="1" t="s">
        <v>12</v>
      </c>
      <c r="F7" s="1">
        <v>40</v>
      </c>
      <c r="G7" s="4">
        <v>60</v>
      </c>
      <c r="H7" s="1">
        <v>12</v>
      </c>
      <c r="I7" s="1">
        <v>12</v>
      </c>
      <c r="J7" s="1">
        <v>19.2</v>
      </c>
      <c r="K7" s="5">
        <v>0.97499999999999998</v>
      </c>
      <c r="L7" s="8">
        <v>1805</v>
      </c>
    </row>
    <row r="8" spans="1:12" x14ac:dyDescent="0.3">
      <c r="A8" s="1">
        <v>7</v>
      </c>
      <c r="B8" s="1" t="s">
        <v>9</v>
      </c>
      <c r="C8" s="1" t="s">
        <v>24</v>
      </c>
      <c r="D8" s="1" t="s">
        <v>14</v>
      </c>
      <c r="E8" s="1" t="s">
        <v>12</v>
      </c>
      <c r="F8" s="1">
        <v>40</v>
      </c>
      <c r="G8" s="4">
        <v>60</v>
      </c>
      <c r="H8" s="1">
        <v>15</v>
      </c>
      <c r="I8" s="1">
        <v>15</v>
      </c>
      <c r="J8" s="1">
        <v>24</v>
      </c>
      <c r="K8" s="5">
        <v>0.97499999999999998</v>
      </c>
      <c r="L8" s="8">
        <v>1831</v>
      </c>
    </row>
    <row r="9" spans="1:12" x14ac:dyDescent="0.3">
      <c r="A9" s="1">
        <v>8</v>
      </c>
      <c r="B9" s="1" t="s">
        <v>9</v>
      </c>
      <c r="C9" s="1" t="s">
        <v>25</v>
      </c>
      <c r="D9" s="1" t="s">
        <v>14</v>
      </c>
      <c r="E9" s="1" t="s">
        <v>12</v>
      </c>
      <c r="F9" s="1">
        <v>40</v>
      </c>
      <c r="G9" s="4">
        <v>60</v>
      </c>
      <c r="H9" s="1">
        <v>18</v>
      </c>
      <c r="I9" s="1">
        <v>18</v>
      </c>
      <c r="J9" s="1">
        <v>28.8</v>
      </c>
      <c r="K9" s="5">
        <v>0.97499999999999998</v>
      </c>
      <c r="L9" s="7">
        <v>2010</v>
      </c>
    </row>
    <row r="10" spans="1:12" x14ac:dyDescent="0.3">
      <c r="A10" s="1">
        <v>9</v>
      </c>
      <c r="B10" s="1" t="s">
        <v>9</v>
      </c>
      <c r="C10" s="1" t="s">
        <v>26</v>
      </c>
      <c r="D10" s="1" t="s">
        <v>14</v>
      </c>
      <c r="E10" s="1" t="s">
        <v>12</v>
      </c>
      <c r="F10" s="1">
        <v>120</v>
      </c>
      <c r="G10" s="4">
        <v>600</v>
      </c>
      <c r="H10" s="1">
        <v>5</v>
      </c>
      <c r="I10" s="1">
        <v>5</v>
      </c>
      <c r="J10" s="1">
        <v>8</v>
      </c>
      <c r="K10" s="5">
        <v>0.97499999999999998</v>
      </c>
      <c r="L10" s="8">
        <f>1232*0.79</f>
        <v>973.28000000000009</v>
      </c>
    </row>
    <row r="11" spans="1:12" x14ac:dyDescent="0.3">
      <c r="A11" s="1">
        <v>10</v>
      </c>
      <c r="B11" s="1" t="s">
        <v>9</v>
      </c>
      <c r="C11" s="1" t="s">
        <v>27</v>
      </c>
      <c r="D11" s="1" t="s">
        <v>14</v>
      </c>
      <c r="E11" s="1" t="s">
        <v>12</v>
      </c>
      <c r="F11" s="1">
        <v>120</v>
      </c>
      <c r="G11" s="4">
        <v>600</v>
      </c>
      <c r="H11" s="1">
        <v>6</v>
      </c>
      <c r="I11" s="1">
        <v>6</v>
      </c>
      <c r="J11" s="1">
        <v>9.6</v>
      </c>
      <c r="K11" s="5">
        <v>0.97499999999999998</v>
      </c>
      <c r="L11" s="8">
        <f>1246*0.79</f>
        <v>984.34</v>
      </c>
    </row>
    <row r="12" spans="1:12" x14ac:dyDescent="0.3">
      <c r="A12" s="1">
        <v>11</v>
      </c>
      <c r="B12" s="1" t="s">
        <v>9</v>
      </c>
      <c r="C12" s="1" t="s">
        <v>28</v>
      </c>
      <c r="D12" s="1" t="s">
        <v>14</v>
      </c>
      <c r="E12" s="1" t="s">
        <v>12</v>
      </c>
      <c r="F12" s="1">
        <v>120</v>
      </c>
      <c r="G12" s="4">
        <v>600</v>
      </c>
      <c r="H12" s="1">
        <v>8</v>
      </c>
      <c r="I12" s="1">
        <v>8</v>
      </c>
      <c r="J12" s="1">
        <v>12.8</v>
      </c>
      <c r="K12" s="5">
        <v>0.97499999999999998</v>
      </c>
      <c r="L12" s="8">
        <f>1297*0.79</f>
        <v>1024.6300000000001</v>
      </c>
    </row>
    <row r="13" spans="1:12" x14ac:dyDescent="0.3">
      <c r="A13" s="1">
        <v>12</v>
      </c>
      <c r="B13" s="1" t="s">
        <v>9</v>
      </c>
      <c r="C13" s="1" t="s">
        <v>29</v>
      </c>
      <c r="D13" s="1" t="s">
        <v>14</v>
      </c>
      <c r="E13" s="1" t="s">
        <v>12</v>
      </c>
      <c r="F13" s="1">
        <v>120</v>
      </c>
      <c r="G13" s="4">
        <v>600</v>
      </c>
      <c r="H13" s="1">
        <v>10</v>
      </c>
      <c r="I13" s="1">
        <v>10</v>
      </c>
      <c r="J13" s="1">
        <v>16</v>
      </c>
      <c r="K13" s="5">
        <v>0.97499999999999998</v>
      </c>
      <c r="L13" s="8">
        <f>1300*0.79</f>
        <v>1027</v>
      </c>
    </row>
    <row r="14" spans="1:12" x14ac:dyDescent="0.3">
      <c r="A14" s="1">
        <v>13</v>
      </c>
      <c r="B14" s="1" t="s">
        <v>9</v>
      </c>
      <c r="C14" s="1" t="s">
        <v>30</v>
      </c>
      <c r="D14" s="1" t="s">
        <v>14</v>
      </c>
      <c r="E14" s="1" t="s">
        <v>12</v>
      </c>
      <c r="F14" s="1">
        <v>120</v>
      </c>
      <c r="G14" s="4">
        <v>800</v>
      </c>
      <c r="H14" s="1">
        <v>12</v>
      </c>
      <c r="I14" s="1">
        <v>12</v>
      </c>
      <c r="J14" s="1">
        <v>19.2</v>
      </c>
      <c r="K14" s="5">
        <v>0.97699999999999998</v>
      </c>
      <c r="L14" s="8">
        <f>2066*0.79</f>
        <v>1632.14</v>
      </c>
    </row>
    <row r="15" spans="1:12" x14ac:dyDescent="0.3">
      <c r="A15" s="1">
        <v>14</v>
      </c>
      <c r="B15" s="1" t="s">
        <v>9</v>
      </c>
      <c r="C15" s="1" t="s">
        <v>31</v>
      </c>
      <c r="D15" s="1" t="s">
        <v>14</v>
      </c>
      <c r="E15" s="1" t="s">
        <v>12</v>
      </c>
      <c r="F15" s="1">
        <v>120</v>
      </c>
      <c r="G15" s="4">
        <v>800</v>
      </c>
      <c r="H15" s="1">
        <v>15</v>
      </c>
      <c r="I15" s="1">
        <v>15</v>
      </c>
      <c r="J15" s="1">
        <v>24</v>
      </c>
      <c r="K15" s="5">
        <v>0.97699999999999998</v>
      </c>
      <c r="L15" s="8">
        <f>2141*0.79</f>
        <v>1691.39</v>
      </c>
    </row>
    <row r="16" spans="1:12" x14ac:dyDescent="0.3">
      <c r="A16" s="1">
        <v>15</v>
      </c>
      <c r="B16" s="1" t="s">
        <v>9</v>
      </c>
      <c r="C16" s="1" t="s">
        <v>32</v>
      </c>
      <c r="D16" s="1" t="s">
        <v>14</v>
      </c>
      <c r="E16" s="1" t="s">
        <v>12</v>
      </c>
      <c r="F16" s="1">
        <v>120</v>
      </c>
      <c r="G16" s="4">
        <v>800</v>
      </c>
      <c r="H16" s="1">
        <v>20</v>
      </c>
      <c r="I16" s="1">
        <v>20</v>
      </c>
      <c r="J16" s="1">
        <v>32</v>
      </c>
      <c r="K16" s="5">
        <v>0.97699999999999998</v>
      </c>
      <c r="L16" s="8">
        <f>2290*0.79</f>
        <v>1809.1000000000001</v>
      </c>
    </row>
    <row r="17" spans="1:12" x14ac:dyDescent="0.3">
      <c r="A17" s="1">
        <v>16</v>
      </c>
      <c r="B17" s="1" t="s">
        <v>9</v>
      </c>
      <c r="C17" s="1" t="s">
        <v>33</v>
      </c>
      <c r="D17" s="1" t="s">
        <v>14</v>
      </c>
      <c r="E17" s="1" t="s">
        <v>12</v>
      </c>
      <c r="F17" s="1">
        <v>150</v>
      </c>
      <c r="G17" s="4">
        <v>800</v>
      </c>
      <c r="H17" s="1">
        <v>30</v>
      </c>
      <c r="I17" s="1">
        <v>30</v>
      </c>
      <c r="J17" s="1">
        <v>60</v>
      </c>
      <c r="K17" s="5">
        <v>0.97799999999999998</v>
      </c>
      <c r="L17" s="8">
        <f>3851*0.79</f>
        <v>3042.29</v>
      </c>
    </row>
    <row r="18" spans="1:12" x14ac:dyDescent="0.3">
      <c r="A18" s="1">
        <v>17</v>
      </c>
      <c r="B18" s="1" t="s">
        <v>9</v>
      </c>
      <c r="C18" s="1" t="s">
        <v>34</v>
      </c>
      <c r="D18" s="1" t="s">
        <v>14</v>
      </c>
      <c r="E18" s="1" t="s">
        <v>12</v>
      </c>
      <c r="F18" s="1">
        <v>150</v>
      </c>
      <c r="G18" s="4">
        <v>800</v>
      </c>
      <c r="H18" s="1">
        <v>40</v>
      </c>
      <c r="I18" s="1">
        <v>40</v>
      </c>
      <c r="J18" s="1">
        <v>80</v>
      </c>
      <c r="K18" s="5">
        <v>0.97799999999999998</v>
      </c>
      <c r="L18" s="8">
        <f>4904*0.79</f>
        <v>3874.1600000000003</v>
      </c>
    </row>
    <row r="19" spans="1:12" x14ac:dyDescent="0.3">
      <c r="A19" s="1">
        <v>18</v>
      </c>
      <c r="B19" s="1" t="s">
        <v>9</v>
      </c>
      <c r="C19" s="1" t="s">
        <v>35</v>
      </c>
      <c r="D19" s="1" t="s">
        <v>14</v>
      </c>
      <c r="E19" s="1" t="s">
        <v>12</v>
      </c>
      <c r="F19" s="1">
        <v>150</v>
      </c>
      <c r="G19" s="4">
        <v>800</v>
      </c>
      <c r="H19" s="1">
        <v>50</v>
      </c>
      <c r="I19" s="1">
        <v>50</v>
      </c>
      <c r="J19" s="1">
        <v>96</v>
      </c>
      <c r="K19" s="5">
        <v>0.97799999999999998</v>
      </c>
      <c r="L19" s="8">
        <f>5278*0.79</f>
        <v>4169.62</v>
      </c>
    </row>
    <row r="20" spans="1:12" ht="13.2" customHeight="1" x14ac:dyDescent="0.3">
      <c r="A20" s="1">
        <v>19</v>
      </c>
      <c r="B20" s="1" t="s">
        <v>15</v>
      </c>
      <c r="C20" s="1" t="s">
        <v>36</v>
      </c>
      <c r="D20" s="1" t="s">
        <v>16</v>
      </c>
      <c r="E20" s="1" t="s">
        <v>12</v>
      </c>
      <c r="F20" s="1">
        <v>200</v>
      </c>
      <c r="G20" s="4">
        <v>980</v>
      </c>
      <c r="H20" s="1">
        <v>30</v>
      </c>
      <c r="I20" s="1">
        <v>30</v>
      </c>
      <c r="J20" s="1">
        <v>60</v>
      </c>
      <c r="K20" s="5">
        <v>0.98</v>
      </c>
      <c r="L20" s="8">
        <f>10109*0.79</f>
        <v>7986.1100000000006</v>
      </c>
    </row>
    <row r="21" spans="1:12" x14ac:dyDescent="0.3">
      <c r="A21" s="1">
        <v>20</v>
      </c>
      <c r="B21" s="1" t="s">
        <v>15</v>
      </c>
      <c r="C21" s="1" t="s">
        <v>37</v>
      </c>
      <c r="D21" s="1" t="s">
        <v>16</v>
      </c>
      <c r="E21" s="1" t="s">
        <v>12</v>
      </c>
      <c r="F21" s="1">
        <v>200</v>
      </c>
      <c r="G21" s="4">
        <v>980</v>
      </c>
      <c r="H21" s="1">
        <v>50</v>
      </c>
      <c r="I21" s="1">
        <v>50</v>
      </c>
      <c r="J21" s="1">
        <v>96</v>
      </c>
      <c r="K21" s="5">
        <v>0.98</v>
      </c>
      <c r="L21" s="8">
        <f>11537*0.79</f>
        <v>9114.23</v>
      </c>
    </row>
    <row r="22" spans="1:12" x14ac:dyDescent="0.3">
      <c r="A22" s="1">
        <v>21</v>
      </c>
      <c r="F22" s="3"/>
      <c r="G22" s="4"/>
      <c r="K22" s="5"/>
    </row>
    <row r="23" spans="1:12" x14ac:dyDescent="0.3">
      <c r="A23" s="1">
        <v>22</v>
      </c>
      <c r="F23" s="3"/>
      <c r="G23" s="4"/>
      <c r="K23" s="5"/>
    </row>
    <row r="24" spans="1:12" x14ac:dyDescent="0.3">
      <c r="A24" s="1">
        <v>23</v>
      </c>
      <c r="F24" s="3"/>
      <c r="G24" s="4"/>
      <c r="K24" s="5"/>
    </row>
    <row r="25" spans="1:12" x14ac:dyDescent="0.3">
      <c r="A25" s="1">
        <v>24</v>
      </c>
      <c r="F25" s="3"/>
      <c r="G25" s="4"/>
      <c r="K25" s="5"/>
    </row>
    <row r="26" spans="1:12" x14ac:dyDescent="0.3">
      <c r="A26" s="1">
        <v>25</v>
      </c>
      <c r="F26" s="3"/>
      <c r="G26" s="4"/>
      <c r="K26" s="5"/>
    </row>
    <row r="27" spans="1:12" x14ac:dyDescent="0.3">
      <c r="A27" s="1">
        <v>26</v>
      </c>
      <c r="F27" s="3"/>
      <c r="G27" s="4"/>
      <c r="K27" s="5"/>
    </row>
    <row r="28" spans="1:12" x14ac:dyDescent="0.3">
      <c r="A28" s="1">
        <v>27</v>
      </c>
      <c r="F28" s="3"/>
      <c r="G28" s="4"/>
      <c r="K28" s="5"/>
    </row>
    <row r="29" spans="1:12" x14ac:dyDescent="0.3">
      <c r="A29" s="1">
        <v>28</v>
      </c>
      <c r="F29" s="3"/>
      <c r="G29" s="4"/>
      <c r="K29" s="5"/>
    </row>
    <row r="30" spans="1:12" x14ac:dyDescent="0.3">
      <c r="A30" s="1">
        <v>29</v>
      </c>
      <c r="F30" s="3"/>
      <c r="G30" s="4"/>
      <c r="K30" s="5"/>
    </row>
    <row r="31" spans="1:12" x14ac:dyDescent="0.3">
      <c r="A31" s="1">
        <v>30</v>
      </c>
      <c r="F31" s="3"/>
      <c r="G31" s="4"/>
      <c r="K31" s="5"/>
    </row>
    <row r="32" spans="1:12" x14ac:dyDescent="0.3">
      <c r="A32" s="1">
        <v>31</v>
      </c>
      <c r="F32" s="3"/>
      <c r="G32" s="4"/>
      <c r="K32" s="5"/>
    </row>
    <row r="33" spans="1:11" x14ac:dyDescent="0.3">
      <c r="A33" s="1">
        <v>32</v>
      </c>
      <c r="F33" s="3"/>
      <c r="G33" s="4"/>
      <c r="K33" s="5"/>
    </row>
    <row r="34" spans="1:11" x14ac:dyDescent="0.3">
      <c r="A34" s="1">
        <v>33</v>
      </c>
      <c r="F34" s="3"/>
      <c r="G34" s="4"/>
      <c r="K34" s="5"/>
    </row>
    <row r="35" spans="1:11" x14ac:dyDescent="0.3">
      <c r="A35" s="1">
        <v>34</v>
      </c>
      <c r="F35" s="3"/>
      <c r="G35" s="4"/>
      <c r="K35" s="5"/>
    </row>
    <row r="36" spans="1:11" x14ac:dyDescent="0.3">
      <c r="A36" s="1">
        <v>35</v>
      </c>
      <c r="F36" s="3"/>
      <c r="G36" s="4"/>
      <c r="K36" s="5"/>
    </row>
    <row r="37" spans="1:11" x14ac:dyDescent="0.3">
      <c r="A37" s="1">
        <v>36</v>
      </c>
      <c r="F37" s="3"/>
      <c r="G37" s="4"/>
      <c r="K37" s="5"/>
    </row>
    <row r="38" spans="1:11" x14ac:dyDescent="0.3">
      <c r="A38" s="1">
        <v>37</v>
      </c>
      <c r="F38" s="3"/>
      <c r="G38" s="4"/>
      <c r="K38" s="5"/>
    </row>
    <row r="39" spans="1:11" x14ac:dyDescent="0.3">
      <c r="A39" s="1">
        <v>38</v>
      </c>
      <c r="F39" s="3"/>
      <c r="G39" s="4"/>
      <c r="K39" s="5"/>
    </row>
    <row r="40" spans="1:11" x14ac:dyDescent="0.3">
      <c r="A40" s="1">
        <v>39</v>
      </c>
      <c r="F40" s="3"/>
      <c r="G40" s="4"/>
      <c r="K40" s="5"/>
    </row>
    <row r="41" spans="1:11" x14ac:dyDescent="0.3">
      <c r="A41" s="1">
        <v>40</v>
      </c>
      <c r="F41" s="3"/>
      <c r="G41" s="4"/>
      <c r="K41" s="5"/>
    </row>
    <row r="42" spans="1:11" x14ac:dyDescent="0.3">
      <c r="A42" s="1">
        <v>41</v>
      </c>
      <c r="F42" s="3"/>
      <c r="G42" s="4"/>
      <c r="K42" s="5"/>
    </row>
    <row r="43" spans="1:11" x14ac:dyDescent="0.3">
      <c r="A43" s="1">
        <v>42</v>
      </c>
      <c r="F43" s="3"/>
      <c r="G43" s="4"/>
      <c r="K43" s="5"/>
    </row>
    <row r="44" spans="1:11" x14ac:dyDescent="0.3">
      <c r="A44" s="1">
        <v>43</v>
      </c>
      <c r="F44" s="3"/>
      <c r="G44" s="4"/>
      <c r="K44" s="5"/>
    </row>
    <row r="45" spans="1:11" x14ac:dyDescent="0.3">
      <c r="A45" s="1">
        <v>44</v>
      </c>
      <c r="F45" s="3"/>
      <c r="G45" s="4"/>
      <c r="K45" s="5"/>
    </row>
    <row r="46" spans="1:11" x14ac:dyDescent="0.3">
      <c r="A46" s="1">
        <v>45</v>
      </c>
      <c r="F46" s="3"/>
      <c r="G46" s="4"/>
      <c r="K46" s="5"/>
    </row>
    <row r="47" spans="1:11" x14ac:dyDescent="0.3">
      <c r="A47" s="1">
        <v>46</v>
      </c>
      <c r="F47" s="3"/>
      <c r="G47" s="4"/>
      <c r="K47" s="5"/>
    </row>
    <row r="48" spans="1:11" x14ac:dyDescent="0.3">
      <c r="A48" s="1">
        <v>47</v>
      </c>
      <c r="F48" s="3"/>
      <c r="G48" s="4"/>
      <c r="K48" s="5"/>
    </row>
    <row r="49" spans="1:11" x14ac:dyDescent="0.3">
      <c r="A49" s="1">
        <v>48</v>
      </c>
      <c r="F49" s="3"/>
      <c r="G49" s="4"/>
      <c r="K49" s="5"/>
    </row>
    <row r="50" spans="1:11" x14ac:dyDescent="0.3">
      <c r="A50" s="1">
        <v>49</v>
      </c>
      <c r="F50" s="3"/>
      <c r="G50" s="4"/>
      <c r="K50" s="5"/>
    </row>
    <row r="51" spans="1:11" x14ac:dyDescent="0.3">
      <c r="A51" s="1">
        <v>50</v>
      </c>
      <c r="F51" s="3"/>
      <c r="G51" s="4"/>
      <c r="K51" s="5"/>
    </row>
    <row r="52" spans="1:11" x14ac:dyDescent="0.3">
      <c r="A52" s="1">
        <v>51</v>
      </c>
      <c r="F52" s="3"/>
      <c r="G52" s="4"/>
      <c r="K52" s="5"/>
    </row>
    <row r="53" spans="1:11" x14ac:dyDescent="0.3">
      <c r="A53" s="1">
        <v>52</v>
      </c>
      <c r="F53" s="3"/>
      <c r="G53" s="4"/>
      <c r="K53" s="5"/>
    </row>
    <row r="54" spans="1:11" x14ac:dyDescent="0.3">
      <c r="A54" s="1">
        <v>53</v>
      </c>
      <c r="F54" s="3"/>
      <c r="G54" s="4"/>
      <c r="K54" s="5"/>
    </row>
    <row r="55" spans="1:11" x14ac:dyDescent="0.3">
      <c r="A55" s="1">
        <v>54</v>
      </c>
      <c r="F55" s="3"/>
      <c r="G55" s="4"/>
      <c r="K55" s="5"/>
    </row>
    <row r="56" spans="1:11" x14ac:dyDescent="0.3">
      <c r="A56" s="1">
        <v>55</v>
      </c>
      <c r="F56" s="3"/>
      <c r="G56" s="4"/>
      <c r="K56" s="5"/>
    </row>
    <row r="57" spans="1:11" x14ac:dyDescent="0.3">
      <c r="A57" s="1">
        <v>56</v>
      </c>
      <c r="F57" s="3"/>
      <c r="G57" s="4"/>
      <c r="K57" s="5"/>
    </row>
    <row r="58" spans="1:11" x14ac:dyDescent="0.3">
      <c r="A58" s="1">
        <v>57</v>
      </c>
      <c r="F58" s="3"/>
      <c r="G58" s="4"/>
      <c r="K58" s="5"/>
    </row>
    <row r="59" spans="1:11" x14ac:dyDescent="0.3">
      <c r="A59" s="1">
        <v>58</v>
      </c>
      <c r="F59" s="3"/>
      <c r="G59" s="4"/>
      <c r="K59" s="5"/>
    </row>
    <row r="60" spans="1:11" x14ac:dyDescent="0.3">
      <c r="A60" s="1">
        <v>59</v>
      </c>
      <c r="F60" s="3"/>
      <c r="G60" s="4"/>
      <c r="K60" s="5"/>
    </row>
    <row r="61" spans="1:11" x14ac:dyDescent="0.3">
      <c r="A61" s="1">
        <v>60</v>
      </c>
      <c r="F61" s="3"/>
      <c r="G61" s="4"/>
      <c r="K61" s="5"/>
    </row>
    <row r="62" spans="1:11" x14ac:dyDescent="0.3">
      <c r="A62" s="1">
        <v>61</v>
      </c>
      <c r="F62" s="3"/>
      <c r="G62" s="4"/>
      <c r="K62" s="5"/>
    </row>
    <row r="63" spans="1:11" x14ac:dyDescent="0.3">
      <c r="A63" s="1">
        <v>62</v>
      </c>
      <c r="F63" s="3"/>
      <c r="G63" s="4"/>
      <c r="K63" s="5"/>
    </row>
    <row r="64" spans="1:11" x14ac:dyDescent="0.3">
      <c r="A64" s="1">
        <v>63</v>
      </c>
      <c r="F64" s="3"/>
      <c r="G64" s="4"/>
      <c r="K64" s="5"/>
    </row>
    <row r="65" spans="1:11" x14ac:dyDescent="0.3">
      <c r="A65" s="1">
        <v>64</v>
      </c>
      <c r="F65" s="3"/>
      <c r="G65" s="4"/>
      <c r="K65" s="5"/>
    </row>
    <row r="66" spans="1:11" x14ac:dyDescent="0.3">
      <c r="A66" s="1">
        <v>65</v>
      </c>
      <c r="F66" s="3"/>
      <c r="G66" s="4"/>
      <c r="K66" s="5"/>
    </row>
    <row r="67" spans="1:11" x14ac:dyDescent="0.3">
      <c r="A67" s="1">
        <v>66</v>
      </c>
      <c r="F67" s="3"/>
      <c r="G67" s="4"/>
      <c r="K67" s="5"/>
    </row>
    <row r="68" spans="1:11" x14ac:dyDescent="0.3">
      <c r="A68" s="1">
        <v>67</v>
      </c>
      <c r="F68" s="3"/>
      <c r="G68" s="4"/>
      <c r="K68" s="5"/>
    </row>
    <row r="69" spans="1:11" x14ac:dyDescent="0.3">
      <c r="A69" s="1">
        <v>68</v>
      </c>
      <c r="F69" s="3"/>
      <c r="G69" s="4"/>
      <c r="K69" s="5"/>
    </row>
    <row r="70" spans="1:11" x14ac:dyDescent="0.3">
      <c r="A70" s="1">
        <v>69</v>
      </c>
      <c r="F70" s="3"/>
      <c r="G70" s="4"/>
      <c r="K70" s="5"/>
    </row>
    <row r="71" spans="1:11" x14ac:dyDescent="0.3">
      <c r="A71" s="1">
        <v>70</v>
      </c>
      <c r="F71" s="3"/>
      <c r="G71" s="4"/>
      <c r="K71" s="5"/>
    </row>
    <row r="72" spans="1:11" x14ac:dyDescent="0.3">
      <c r="A72" s="1">
        <v>71</v>
      </c>
      <c r="F72" s="3"/>
      <c r="G72" s="4"/>
      <c r="K72" s="5"/>
    </row>
    <row r="73" spans="1:11" x14ac:dyDescent="0.3">
      <c r="A73" s="1">
        <v>72</v>
      </c>
      <c r="F73" s="3"/>
      <c r="G73" s="4"/>
      <c r="K73" s="5"/>
    </row>
    <row r="74" spans="1:11" x14ac:dyDescent="0.3">
      <c r="A74" s="1">
        <v>73</v>
      </c>
      <c r="F74" s="3"/>
      <c r="G74" s="4"/>
      <c r="K74" s="5"/>
    </row>
    <row r="75" spans="1:11" x14ac:dyDescent="0.3">
      <c r="A75" s="1">
        <v>74</v>
      </c>
      <c r="F75" s="3"/>
      <c r="G75" s="4"/>
      <c r="K75" s="5"/>
    </row>
    <row r="76" spans="1:11" x14ac:dyDescent="0.3">
      <c r="A76" s="1">
        <v>75</v>
      </c>
      <c r="F76" s="3"/>
      <c r="G76" s="4"/>
      <c r="K76" s="5"/>
    </row>
    <row r="77" spans="1:11" x14ac:dyDescent="0.3">
      <c r="A77" s="1">
        <v>76</v>
      </c>
      <c r="F77" s="3"/>
      <c r="G77" s="4"/>
      <c r="K77" s="5"/>
    </row>
    <row r="78" spans="1:11" x14ac:dyDescent="0.3">
      <c r="A78" s="1">
        <v>77</v>
      </c>
      <c r="F78" s="3"/>
      <c r="G78" s="4"/>
      <c r="K78" s="5"/>
    </row>
    <row r="79" spans="1:11" x14ac:dyDescent="0.3">
      <c r="A79" s="1">
        <v>78</v>
      </c>
      <c r="F79" s="3"/>
      <c r="G79" s="4"/>
      <c r="K79" s="5"/>
    </row>
    <row r="80" spans="1:11" x14ac:dyDescent="0.3">
      <c r="A80" s="1">
        <v>79</v>
      </c>
      <c r="G80" s="4"/>
      <c r="K80" s="5"/>
    </row>
    <row r="81" spans="1:11" x14ac:dyDescent="0.3">
      <c r="A81" s="1">
        <v>80</v>
      </c>
      <c r="G81" s="4"/>
      <c r="K81" s="5"/>
    </row>
    <row r="82" spans="1:11" x14ac:dyDescent="0.3">
      <c r="A82" s="1">
        <v>81</v>
      </c>
      <c r="G82" s="4"/>
      <c r="K82" s="5"/>
    </row>
    <row r="83" spans="1:11" x14ac:dyDescent="0.3">
      <c r="A83" s="1">
        <v>82</v>
      </c>
      <c r="G83" s="4"/>
      <c r="K83" s="5"/>
    </row>
    <row r="84" spans="1:11" x14ac:dyDescent="0.3">
      <c r="A84" s="1">
        <v>83</v>
      </c>
      <c r="G84" s="4"/>
      <c r="K84" s="5"/>
    </row>
    <row r="85" spans="1:11" x14ac:dyDescent="0.3">
      <c r="A85" s="1">
        <v>84</v>
      </c>
      <c r="G85" s="4"/>
      <c r="K85" s="5"/>
    </row>
    <row r="86" spans="1:11" x14ac:dyDescent="0.3">
      <c r="A86" s="1">
        <v>85</v>
      </c>
      <c r="G86" s="4"/>
      <c r="K86" s="5"/>
    </row>
    <row r="87" spans="1:11" x14ac:dyDescent="0.3">
      <c r="A87" s="1">
        <v>86</v>
      </c>
      <c r="G87" s="4"/>
      <c r="K87" s="5"/>
    </row>
    <row r="88" spans="1:11" x14ac:dyDescent="0.3">
      <c r="A88" s="1">
        <v>87</v>
      </c>
      <c r="G88" s="4"/>
      <c r="K88" s="5"/>
    </row>
    <row r="89" spans="1:11" x14ac:dyDescent="0.3">
      <c r="A89" s="1">
        <v>88</v>
      </c>
      <c r="G89" s="4"/>
      <c r="K89" s="5"/>
    </row>
    <row r="90" spans="1:11" x14ac:dyDescent="0.3">
      <c r="A90" s="1">
        <v>89</v>
      </c>
      <c r="G90" s="4"/>
      <c r="K90" s="5"/>
    </row>
    <row r="91" spans="1:11" x14ac:dyDescent="0.3">
      <c r="A91" s="1">
        <v>90</v>
      </c>
      <c r="G91" s="4"/>
      <c r="K91" s="5"/>
    </row>
    <row r="92" spans="1:11" x14ac:dyDescent="0.3">
      <c r="A92" s="1">
        <v>91</v>
      </c>
      <c r="G92" s="4"/>
      <c r="K92" s="5"/>
    </row>
    <row r="93" spans="1:11" x14ac:dyDescent="0.3">
      <c r="A93" s="1">
        <v>92</v>
      </c>
      <c r="G93" s="4"/>
      <c r="K93" s="5"/>
    </row>
    <row r="94" spans="1:11" x14ac:dyDescent="0.3">
      <c r="A94" s="1">
        <v>93</v>
      </c>
      <c r="G94" s="4"/>
      <c r="K94" s="5"/>
    </row>
    <row r="95" spans="1:11" x14ac:dyDescent="0.3">
      <c r="A95" s="1">
        <v>94</v>
      </c>
      <c r="G95" s="4"/>
      <c r="K95" s="5"/>
    </row>
    <row r="96" spans="1:11" x14ac:dyDescent="0.3">
      <c r="A96" s="1">
        <v>95</v>
      </c>
      <c r="G96" s="4"/>
      <c r="K96" s="5"/>
    </row>
    <row r="97" spans="1:11" x14ac:dyDescent="0.3">
      <c r="A97" s="1">
        <v>96</v>
      </c>
      <c r="G97" s="4"/>
      <c r="K97" s="5"/>
    </row>
    <row r="98" spans="1:11" x14ac:dyDescent="0.3">
      <c r="A98" s="1">
        <v>97</v>
      </c>
      <c r="G98" s="4"/>
      <c r="K98" s="5"/>
    </row>
    <row r="99" spans="1:11" x14ac:dyDescent="0.3">
      <c r="A99" s="1">
        <v>98</v>
      </c>
      <c r="G99" s="4"/>
      <c r="K99" s="5"/>
    </row>
    <row r="100" spans="1:11" x14ac:dyDescent="0.3">
      <c r="A100" s="1">
        <v>99</v>
      </c>
      <c r="G100" s="4"/>
      <c r="K100" s="5"/>
    </row>
    <row r="101" spans="1:11" x14ac:dyDescent="0.3">
      <c r="A101" s="1">
        <v>100</v>
      </c>
      <c r="G101" s="4"/>
      <c r="K101" s="5"/>
    </row>
    <row r="102" spans="1:11" x14ac:dyDescent="0.3">
      <c r="A102" s="1">
        <v>101</v>
      </c>
      <c r="G102" s="4"/>
      <c r="K102" s="5"/>
    </row>
    <row r="103" spans="1:11" x14ac:dyDescent="0.3">
      <c r="A103" s="1">
        <v>102</v>
      </c>
      <c r="G103" s="4"/>
      <c r="K103" s="5"/>
    </row>
    <row r="104" spans="1:11" x14ac:dyDescent="0.3">
      <c r="A104" s="1">
        <v>103</v>
      </c>
      <c r="G104" s="4"/>
      <c r="K104" s="5"/>
    </row>
    <row r="105" spans="1:11" x14ac:dyDescent="0.3">
      <c r="A105" s="1">
        <v>104</v>
      </c>
      <c r="G105" s="4"/>
      <c r="K105" s="5"/>
    </row>
    <row r="106" spans="1:11" x14ac:dyDescent="0.3">
      <c r="A106" s="1">
        <v>105</v>
      </c>
      <c r="G106" s="4"/>
      <c r="K106" s="5"/>
    </row>
    <row r="107" spans="1:11" x14ac:dyDescent="0.3">
      <c r="A107" s="1">
        <v>106</v>
      </c>
      <c r="G107" s="4"/>
      <c r="K107" s="5"/>
    </row>
    <row r="108" spans="1:11" x14ac:dyDescent="0.3">
      <c r="A108" s="1">
        <v>107</v>
      </c>
      <c r="G108" s="4"/>
      <c r="K108" s="5"/>
    </row>
    <row r="109" spans="1:11" x14ac:dyDescent="0.3">
      <c r="A109" s="1">
        <v>108</v>
      </c>
      <c r="G109" s="4"/>
      <c r="K109" s="5"/>
    </row>
    <row r="110" spans="1:11" x14ac:dyDescent="0.3">
      <c r="A110" s="1">
        <v>109</v>
      </c>
      <c r="G110" s="4"/>
      <c r="K110" s="5"/>
    </row>
    <row r="111" spans="1:11" x14ac:dyDescent="0.3">
      <c r="A111" s="1">
        <v>110</v>
      </c>
      <c r="G111" s="4"/>
      <c r="K111" s="5"/>
    </row>
    <row r="112" spans="1:11" x14ac:dyDescent="0.3">
      <c r="A112" s="1">
        <v>111</v>
      </c>
      <c r="G112" s="4"/>
      <c r="K112" s="5"/>
    </row>
    <row r="113" spans="1:11" x14ac:dyDescent="0.3">
      <c r="A113" s="1">
        <v>112</v>
      </c>
      <c r="G113" s="4"/>
      <c r="K113" s="5"/>
    </row>
    <row r="114" spans="1:11" x14ac:dyDescent="0.3">
      <c r="A114" s="1">
        <v>113</v>
      </c>
      <c r="G114" s="4"/>
      <c r="K114" s="5"/>
    </row>
    <row r="115" spans="1:11" x14ac:dyDescent="0.3">
      <c r="A115" s="1">
        <v>114</v>
      </c>
      <c r="G115" s="4"/>
      <c r="K115" s="5"/>
    </row>
    <row r="116" spans="1:11" x14ac:dyDescent="0.3">
      <c r="A116" s="1">
        <v>115</v>
      </c>
      <c r="G116" s="4"/>
      <c r="K116" s="5"/>
    </row>
    <row r="117" spans="1:11" x14ac:dyDescent="0.3">
      <c r="A117" s="1">
        <v>116</v>
      </c>
      <c r="G117" s="4"/>
      <c r="K117" s="5"/>
    </row>
    <row r="118" spans="1:11" x14ac:dyDescent="0.3">
      <c r="A118" s="1">
        <v>117</v>
      </c>
      <c r="G118" s="4"/>
      <c r="K118" s="5"/>
    </row>
    <row r="119" spans="1:11" x14ac:dyDescent="0.3">
      <c r="A119" s="1">
        <v>118</v>
      </c>
      <c r="G119" s="4"/>
      <c r="K119" s="5"/>
    </row>
    <row r="120" spans="1:11" x14ac:dyDescent="0.3">
      <c r="A120" s="1">
        <v>119</v>
      </c>
      <c r="G120" s="4"/>
      <c r="K120" s="5"/>
    </row>
    <row r="121" spans="1:11" x14ac:dyDescent="0.3">
      <c r="A121" s="1">
        <v>120</v>
      </c>
      <c r="G121" s="4"/>
      <c r="K121" s="5"/>
    </row>
    <row r="122" spans="1:11" x14ac:dyDescent="0.3">
      <c r="A122" s="1">
        <v>121</v>
      </c>
      <c r="G122" s="4"/>
      <c r="K122" s="5"/>
    </row>
    <row r="123" spans="1:11" x14ac:dyDescent="0.3">
      <c r="A123" s="1">
        <v>122</v>
      </c>
      <c r="G123" s="4"/>
      <c r="K123" s="5"/>
    </row>
    <row r="124" spans="1:11" x14ac:dyDescent="0.3">
      <c r="A124" s="1">
        <v>123</v>
      </c>
      <c r="G124" s="4"/>
      <c r="K124" s="5"/>
    </row>
    <row r="125" spans="1:11" x14ac:dyDescent="0.3">
      <c r="G125" s="4"/>
    </row>
    <row r="126" spans="1:11" x14ac:dyDescent="0.3">
      <c r="G126" s="4"/>
    </row>
    <row r="127" spans="1:11" x14ac:dyDescent="0.3">
      <c r="G127" s="4"/>
    </row>
    <row r="128" spans="1:11" x14ac:dyDescent="0.3">
      <c r="G128" s="4"/>
    </row>
    <row r="129" spans="7:7" x14ac:dyDescent="0.3">
      <c r="G129" s="4"/>
    </row>
    <row r="130" spans="7:7" x14ac:dyDescent="0.3">
      <c r="G130" s="4"/>
    </row>
    <row r="131" spans="7:7" x14ac:dyDescent="0.3">
      <c r="G131" s="4"/>
    </row>
    <row r="132" spans="7:7" x14ac:dyDescent="0.3">
      <c r="G132" s="4"/>
    </row>
    <row r="133" spans="7:7" x14ac:dyDescent="0.3">
      <c r="G133" s="4"/>
    </row>
    <row r="134" spans="7:7" x14ac:dyDescent="0.3">
      <c r="G134" s="4"/>
    </row>
    <row r="135" spans="7:7" x14ac:dyDescent="0.3">
      <c r="G135" s="4"/>
    </row>
    <row r="136" spans="7:7" x14ac:dyDescent="0.3">
      <c r="G136" s="4"/>
    </row>
    <row r="137" spans="7:7" x14ac:dyDescent="0.3">
      <c r="G137" s="4"/>
    </row>
    <row r="138" spans="7:7" x14ac:dyDescent="0.3">
      <c r="G138" s="4"/>
    </row>
    <row r="139" spans="7:7" x14ac:dyDescent="0.3">
      <c r="G139" s="4"/>
    </row>
    <row r="140" spans="7:7" x14ac:dyDescent="0.3">
      <c r="G140" s="4"/>
    </row>
    <row r="141" spans="7:7" x14ac:dyDescent="0.3">
      <c r="G141" s="4"/>
    </row>
    <row r="142" spans="7:7" x14ac:dyDescent="0.3">
      <c r="G142" s="4"/>
    </row>
    <row r="143" spans="7:7" x14ac:dyDescent="0.3">
      <c r="G143" s="4"/>
    </row>
    <row r="144" spans="7:7" x14ac:dyDescent="0.3">
      <c r="G144" s="4"/>
    </row>
    <row r="145" spans="7:7" x14ac:dyDescent="0.3">
      <c r="G145" s="4"/>
    </row>
    <row r="146" spans="7:7" x14ac:dyDescent="0.3">
      <c r="G146" s="4"/>
    </row>
    <row r="147" spans="7:7" x14ac:dyDescent="0.3">
      <c r="G147" s="4"/>
    </row>
    <row r="148" spans="7:7" x14ac:dyDescent="0.3">
      <c r="G148" s="4"/>
    </row>
    <row r="149" spans="7:7" x14ac:dyDescent="0.3">
      <c r="G149" s="4"/>
    </row>
    <row r="150" spans="7:7" x14ac:dyDescent="0.3">
      <c r="G150" s="4"/>
    </row>
    <row r="151" spans="7:7" x14ac:dyDescent="0.3">
      <c r="G151" s="4"/>
    </row>
    <row r="152" spans="7:7" x14ac:dyDescent="0.3">
      <c r="G152" s="4"/>
    </row>
    <row r="153" spans="7:7" x14ac:dyDescent="0.3">
      <c r="G153" s="4"/>
    </row>
    <row r="154" spans="7:7" x14ac:dyDescent="0.3">
      <c r="G154" s="4"/>
    </row>
    <row r="155" spans="7:7" x14ac:dyDescent="0.3">
      <c r="G155" s="4"/>
    </row>
    <row r="156" spans="7:7" x14ac:dyDescent="0.3">
      <c r="G156" s="4"/>
    </row>
    <row r="157" spans="7:7" x14ac:dyDescent="0.3">
      <c r="G157" s="4"/>
    </row>
    <row r="158" spans="7:7" x14ac:dyDescent="0.3">
      <c r="G158" s="4"/>
    </row>
    <row r="159" spans="7:7" x14ac:dyDescent="0.3">
      <c r="G159" s="4"/>
    </row>
    <row r="160" spans="7:7" x14ac:dyDescent="0.3">
      <c r="G160" s="4"/>
    </row>
    <row r="161" spans="7:7" x14ac:dyDescent="0.3">
      <c r="G161" s="4"/>
    </row>
    <row r="162" spans="7:7" x14ac:dyDescent="0.3">
      <c r="G162" s="4"/>
    </row>
    <row r="163" spans="7:7" x14ac:dyDescent="0.3">
      <c r="G163" s="4"/>
    </row>
    <row r="164" spans="7:7" x14ac:dyDescent="0.3">
      <c r="G164" s="4"/>
    </row>
    <row r="165" spans="7:7" x14ac:dyDescent="0.3">
      <c r="G165" s="4"/>
    </row>
    <row r="166" spans="7:7" x14ac:dyDescent="0.3">
      <c r="G166" s="4"/>
    </row>
    <row r="167" spans="7:7" x14ac:dyDescent="0.3">
      <c r="G167" s="4"/>
    </row>
    <row r="168" spans="7:7" x14ac:dyDescent="0.3">
      <c r="G168" s="4"/>
    </row>
    <row r="169" spans="7:7" x14ac:dyDescent="0.3">
      <c r="G169" s="4"/>
    </row>
    <row r="170" spans="7:7" x14ac:dyDescent="0.3">
      <c r="G170" s="4"/>
    </row>
    <row r="171" spans="7:7" x14ac:dyDescent="0.3">
      <c r="G171" s="4"/>
    </row>
    <row r="172" spans="7:7" x14ac:dyDescent="0.3">
      <c r="G172" s="4"/>
    </row>
    <row r="173" spans="7:7" x14ac:dyDescent="0.3">
      <c r="G173" s="4"/>
    </row>
    <row r="174" spans="7:7" x14ac:dyDescent="0.3">
      <c r="G174" s="4"/>
    </row>
    <row r="175" spans="7:7" x14ac:dyDescent="0.3">
      <c r="G175" s="4"/>
    </row>
    <row r="176" spans="7:7" x14ac:dyDescent="0.3">
      <c r="G176" s="4"/>
    </row>
    <row r="177" spans="7:7" x14ac:dyDescent="0.3">
      <c r="G177" s="4"/>
    </row>
    <row r="178" spans="7:7" x14ac:dyDescent="0.3">
      <c r="G178" s="4"/>
    </row>
    <row r="179" spans="7:7" x14ac:dyDescent="0.3">
      <c r="G179" s="4"/>
    </row>
    <row r="180" spans="7:7" x14ac:dyDescent="0.3">
      <c r="G180" s="4"/>
    </row>
    <row r="181" spans="7:7" x14ac:dyDescent="0.3">
      <c r="G181" s="4"/>
    </row>
    <row r="182" spans="7:7" x14ac:dyDescent="0.3">
      <c r="G182" s="4"/>
    </row>
    <row r="183" spans="7:7" x14ac:dyDescent="0.3">
      <c r="G183" s="4"/>
    </row>
    <row r="184" spans="7:7" x14ac:dyDescent="0.3">
      <c r="G184" s="4"/>
    </row>
    <row r="185" spans="7:7" x14ac:dyDescent="0.3">
      <c r="G185" s="4"/>
    </row>
    <row r="186" spans="7:7" x14ac:dyDescent="0.3">
      <c r="G186" s="4"/>
    </row>
    <row r="187" spans="7:7" x14ac:dyDescent="0.3">
      <c r="G187" s="4"/>
    </row>
    <row r="188" spans="7:7" x14ac:dyDescent="0.3">
      <c r="G188" s="4"/>
    </row>
    <row r="189" spans="7:7" x14ac:dyDescent="0.3">
      <c r="G189" s="4"/>
    </row>
    <row r="190" spans="7:7" x14ac:dyDescent="0.3">
      <c r="G190" s="4"/>
    </row>
    <row r="191" spans="7:7" x14ac:dyDescent="0.3">
      <c r="G191" s="4"/>
    </row>
    <row r="192" spans="7:7" x14ac:dyDescent="0.3">
      <c r="G192" s="4"/>
    </row>
    <row r="193" spans="7:7" x14ac:dyDescent="0.3">
      <c r="G193" s="4"/>
    </row>
    <row r="194" spans="7:7" x14ac:dyDescent="0.3">
      <c r="G194" s="4"/>
    </row>
    <row r="195" spans="7:7" x14ac:dyDescent="0.3">
      <c r="G195" s="4"/>
    </row>
    <row r="196" spans="7:7" x14ac:dyDescent="0.3">
      <c r="G196" s="4"/>
    </row>
    <row r="197" spans="7:7" x14ac:dyDescent="0.3">
      <c r="G197" s="4"/>
    </row>
    <row r="198" spans="7:7" x14ac:dyDescent="0.3">
      <c r="G198" s="4"/>
    </row>
    <row r="199" spans="7:7" x14ac:dyDescent="0.3">
      <c r="G199" s="4"/>
    </row>
    <row r="200" spans="7:7" x14ac:dyDescent="0.3">
      <c r="G200" s="4"/>
    </row>
    <row r="201" spans="7:7" x14ac:dyDescent="0.3">
      <c r="G201" s="4"/>
    </row>
    <row r="202" spans="7:7" x14ac:dyDescent="0.3">
      <c r="G202" s="4"/>
    </row>
    <row r="203" spans="7:7" x14ac:dyDescent="0.3">
      <c r="G203" s="4"/>
    </row>
    <row r="204" spans="7:7" x14ac:dyDescent="0.3">
      <c r="G204" s="4"/>
    </row>
    <row r="205" spans="7:7" x14ac:dyDescent="0.3">
      <c r="G205" s="4"/>
    </row>
    <row r="206" spans="7:7" x14ac:dyDescent="0.3">
      <c r="G206" s="4"/>
    </row>
    <row r="207" spans="7:7" x14ac:dyDescent="0.3">
      <c r="G207" s="4"/>
    </row>
    <row r="208" spans="7:7" x14ac:dyDescent="0.3">
      <c r="G208" s="4"/>
    </row>
    <row r="209" spans="7:7" x14ac:dyDescent="0.3">
      <c r="G209" s="4"/>
    </row>
    <row r="210" spans="7:7" x14ac:dyDescent="0.3">
      <c r="G210" s="4"/>
    </row>
    <row r="211" spans="7:7" x14ac:dyDescent="0.3">
      <c r="G211" s="4"/>
    </row>
    <row r="212" spans="7:7" x14ac:dyDescent="0.3">
      <c r="G212" s="4"/>
    </row>
    <row r="213" spans="7:7" x14ac:dyDescent="0.3">
      <c r="G213" s="4"/>
    </row>
    <row r="214" spans="7:7" x14ac:dyDescent="0.3">
      <c r="G214" s="4"/>
    </row>
    <row r="215" spans="7:7" x14ac:dyDescent="0.3">
      <c r="G215" s="4"/>
    </row>
    <row r="216" spans="7:7" x14ac:dyDescent="0.3">
      <c r="G216" s="4"/>
    </row>
    <row r="217" spans="7:7" x14ac:dyDescent="0.3">
      <c r="G217" s="4"/>
    </row>
    <row r="218" spans="7:7" x14ac:dyDescent="0.3">
      <c r="G218" s="4"/>
    </row>
    <row r="219" spans="7:7" x14ac:dyDescent="0.3">
      <c r="G219" s="4"/>
    </row>
    <row r="220" spans="7:7" x14ac:dyDescent="0.3">
      <c r="G220" s="4"/>
    </row>
    <row r="221" spans="7:7" x14ac:dyDescent="0.3">
      <c r="G221" s="4"/>
    </row>
    <row r="222" spans="7:7" x14ac:dyDescent="0.3">
      <c r="G222" s="4"/>
    </row>
    <row r="223" spans="7:7" x14ac:dyDescent="0.3">
      <c r="G223" s="4"/>
    </row>
    <row r="224" spans="7:7" x14ac:dyDescent="0.3">
      <c r="G224" s="4"/>
    </row>
    <row r="225" spans="7:7" x14ac:dyDescent="0.3">
      <c r="G225" s="4"/>
    </row>
    <row r="226" spans="7:7" x14ac:dyDescent="0.3">
      <c r="G226" s="4"/>
    </row>
    <row r="227" spans="7:7" x14ac:dyDescent="0.3">
      <c r="G227" s="4"/>
    </row>
    <row r="228" spans="7:7" x14ac:dyDescent="0.3">
      <c r="G228" s="4"/>
    </row>
    <row r="229" spans="7:7" x14ac:dyDescent="0.3">
      <c r="G229" s="4"/>
    </row>
    <row r="230" spans="7:7" x14ac:dyDescent="0.3">
      <c r="G230" s="4"/>
    </row>
    <row r="231" spans="7:7" x14ac:dyDescent="0.3">
      <c r="G231" s="4"/>
    </row>
    <row r="232" spans="7:7" x14ac:dyDescent="0.3">
      <c r="G232" s="4"/>
    </row>
    <row r="233" spans="7:7" x14ac:dyDescent="0.3">
      <c r="G233" s="4"/>
    </row>
    <row r="234" spans="7:7" x14ac:dyDescent="0.3">
      <c r="G234" s="4"/>
    </row>
    <row r="235" spans="7:7" x14ac:dyDescent="0.3">
      <c r="G235" s="4"/>
    </row>
    <row r="236" spans="7:7" x14ac:dyDescent="0.3">
      <c r="G236" s="4"/>
    </row>
    <row r="237" spans="7:7" x14ac:dyDescent="0.3">
      <c r="G237" s="4"/>
    </row>
    <row r="238" spans="7:7" x14ac:dyDescent="0.3">
      <c r="G238" s="4"/>
    </row>
    <row r="239" spans="7:7" x14ac:dyDescent="0.3">
      <c r="G239" s="4"/>
    </row>
    <row r="240" spans="7:7" x14ac:dyDescent="0.3">
      <c r="G240" s="4"/>
    </row>
    <row r="241" spans="7:7" x14ac:dyDescent="0.3">
      <c r="G241" s="4"/>
    </row>
    <row r="242" spans="7:7" x14ac:dyDescent="0.3">
      <c r="G242" s="4"/>
    </row>
    <row r="243" spans="7:7" x14ac:dyDescent="0.3">
      <c r="G243" s="4"/>
    </row>
    <row r="244" spans="7:7" x14ac:dyDescent="0.3">
      <c r="G244" s="4"/>
    </row>
    <row r="245" spans="7:7" x14ac:dyDescent="0.3">
      <c r="G245" s="4"/>
    </row>
    <row r="246" spans="7:7" x14ac:dyDescent="0.3">
      <c r="G246" s="4"/>
    </row>
    <row r="247" spans="7:7" x14ac:dyDescent="0.3">
      <c r="G247" s="4"/>
    </row>
    <row r="248" spans="7:7" x14ac:dyDescent="0.3">
      <c r="G248" s="4"/>
    </row>
    <row r="249" spans="7:7" x14ac:dyDescent="0.3">
      <c r="G249" s="4"/>
    </row>
    <row r="250" spans="7:7" x14ac:dyDescent="0.3">
      <c r="G250" s="4"/>
    </row>
    <row r="251" spans="7:7" x14ac:dyDescent="0.3">
      <c r="G251" s="4"/>
    </row>
    <row r="252" spans="7:7" x14ac:dyDescent="0.3">
      <c r="G252" s="4"/>
    </row>
    <row r="253" spans="7:7" x14ac:dyDescent="0.3">
      <c r="G253" s="4"/>
    </row>
    <row r="254" spans="7:7" x14ac:dyDescent="0.3">
      <c r="G254" s="4"/>
    </row>
    <row r="255" spans="7:7" x14ac:dyDescent="0.3">
      <c r="G255" s="4"/>
    </row>
    <row r="256" spans="7:7" x14ac:dyDescent="0.3">
      <c r="G256" s="4"/>
    </row>
    <row r="257" spans="7:7" x14ac:dyDescent="0.3">
      <c r="G257" s="4"/>
    </row>
    <row r="258" spans="7:7" x14ac:dyDescent="0.3">
      <c r="G258" s="4"/>
    </row>
    <row r="259" spans="7:7" x14ac:dyDescent="0.3">
      <c r="G259" s="4"/>
    </row>
    <row r="260" spans="7:7" x14ac:dyDescent="0.3">
      <c r="G260" s="4"/>
    </row>
    <row r="261" spans="7:7" x14ac:dyDescent="0.3">
      <c r="G261" s="4"/>
    </row>
    <row r="262" spans="7:7" x14ac:dyDescent="0.3">
      <c r="G262" s="4"/>
    </row>
    <row r="263" spans="7:7" x14ac:dyDescent="0.3">
      <c r="G263" s="4"/>
    </row>
    <row r="264" spans="7:7" x14ac:dyDescent="0.3">
      <c r="G264" s="4"/>
    </row>
    <row r="265" spans="7:7" x14ac:dyDescent="0.3">
      <c r="G265" s="4"/>
    </row>
    <row r="266" spans="7:7" x14ac:dyDescent="0.3">
      <c r="G266" s="4"/>
    </row>
    <row r="267" spans="7:7" x14ac:dyDescent="0.3">
      <c r="G267" s="4"/>
    </row>
    <row r="268" spans="7:7" x14ac:dyDescent="0.3">
      <c r="G268" s="4"/>
    </row>
    <row r="269" spans="7:7" x14ac:dyDescent="0.3">
      <c r="G269" s="4"/>
    </row>
    <row r="270" spans="7:7" x14ac:dyDescent="0.3">
      <c r="G270" s="4"/>
    </row>
    <row r="271" spans="7:7" x14ac:dyDescent="0.3">
      <c r="G271" s="4"/>
    </row>
    <row r="272" spans="7:7" x14ac:dyDescent="0.3">
      <c r="G272" s="4"/>
    </row>
    <row r="273" spans="7:7" x14ac:dyDescent="0.3">
      <c r="G273" s="4"/>
    </row>
    <row r="274" spans="7:7" x14ac:dyDescent="0.3">
      <c r="G274" s="4"/>
    </row>
    <row r="275" spans="7:7" x14ac:dyDescent="0.3">
      <c r="G275" s="4"/>
    </row>
    <row r="276" spans="7:7" x14ac:dyDescent="0.3">
      <c r="G276" s="4"/>
    </row>
    <row r="277" spans="7:7" x14ac:dyDescent="0.3">
      <c r="G277" s="4"/>
    </row>
    <row r="278" spans="7:7" x14ac:dyDescent="0.3">
      <c r="G278" s="4"/>
    </row>
    <row r="279" spans="7:7" x14ac:dyDescent="0.3">
      <c r="G279" s="4"/>
    </row>
    <row r="280" spans="7:7" x14ac:dyDescent="0.3">
      <c r="G280" s="4"/>
    </row>
    <row r="281" spans="7:7" x14ac:dyDescent="0.3">
      <c r="G281" s="4"/>
    </row>
    <row r="282" spans="7:7" x14ac:dyDescent="0.3">
      <c r="G282" s="4"/>
    </row>
    <row r="283" spans="7:7" x14ac:dyDescent="0.3">
      <c r="G283" s="4"/>
    </row>
    <row r="284" spans="7:7" x14ac:dyDescent="0.3">
      <c r="G284" s="4"/>
    </row>
    <row r="285" spans="7:7" x14ac:dyDescent="0.3">
      <c r="G285" s="4"/>
    </row>
    <row r="286" spans="7:7" x14ac:dyDescent="0.3">
      <c r="G286" s="4"/>
    </row>
    <row r="287" spans="7:7" x14ac:dyDescent="0.3">
      <c r="G287" s="4"/>
    </row>
    <row r="288" spans="7:7" x14ac:dyDescent="0.3">
      <c r="G288" s="4"/>
    </row>
    <row r="289" spans="7:7" x14ac:dyDescent="0.3">
      <c r="G289" s="4"/>
    </row>
    <row r="290" spans="7:7" x14ac:dyDescent="0.3">
      <c r="G290" s="4"/>
    </row>
    <row r="291" spans="7:7" x14ac:dyDescent="0.3">
      <c r="G291" s="4"/>
    </row>
    <row r="292" spans="7:7" x14ac:dyDescent="0.3">
      <c r="G292" s="4"/>
    </row>
    <row r="293" spans="7:7" x14ac:dyDescent="0.3">
      <c r="G293" s="4"/>
    </row>
    <row r="294" spans="7:7" x14ac:dyDescent="0.3">
      <c r="G294" s="4"/>
    </row>
    <row r="295" spans="7:7" x14ac:dyDescent="0.3">
      <c r="G295" s="4"/>
    </row>
    <row r="296" spans="7:7" x14ac:dyDescent="0.3">
      <c r="G296" s="4"/>
    </row>
    <row r="297" spans="7:7" x14ac:dyDescent="0.3">
      <c r="G297" s="4"/>
    </row>
    <row r="298" spans="7:7" x14ac:dyDescent="0.3">
      <c r="G298" s="4"/>
    </row>
    <row r="299" spans="7:7" x14ac:dyDescent="0.3">
      <c r="G299" s="4"/>
    </row>
    <row r="300" spans="7:7" x14ac:dyDescent="0.3">
      <c r="G300" s="4"/>
    </row>
    <row r="301" spans="7:7" x14ac:dyDescent="0.3">
      <c r="G301" s="4"/>
    </row>
    <row r="302" spans="7:7" x14ac:dyDescent="0.3">
      <c r="G302" s="4"/>
    </row>
    <row r="303" spans="7:7" x14ac:dyDescent="0.3">
      <c r="G303" s="4"/>
    </row>
    <row r="304" spans="7:7" x14ac:dyDescent="0.3">
      <c r="G304" s="4"/>
    </row>
    <row r="305" spans="7:7" x14ac:dyDescent="0.3">
      <c r="G305" s="4"/>
    </row>
    <row r="306" spans="7:7" x14ac:dyDescent="0.3">
      <c r="G306" s="4"/>
    </row>
    <row r="307" spans="7:7" x14ac:dyDescent="0.3">
      <c r="G307" s="4"/>
    </row>
    <row r="308" spans="7:7" x14ac:dyDescent="0.3">
      <c r="G308" s="4"/>
    </row>
    <row r="309" spans="7:7" x14ac:dyDescent="0.3">
      <c r="G309" s="4"/>
    </row>
    <row r="310" spans="7:7" x14ac:dyDescent="0.3">
      <c r="G310" s="4"/>
    </row>
    <row r="311" spans="7:7" x14ac:dyDescent="0.3">
      <c r="G311" s="4"/>
    </row>
    <row r="312" spans="7:7" x14ac:dyDescent="0.3">
      <c r="G312" s="4"/>
    </row>
    <row r="313" spans="7:7" x14ac:dyDescent="0.3">
      <c r="G313" s="4"/>
    </row>
    <row r="314" spans="7:7" x14ac:dyDescent="0.3">
      <c r="G314" s="4"/>
    </row>
    <row r="315" spans="7:7" x14ac:dyDescent="0.3">
      <c r="G315" s="4"/>
    </row>
    <row r="316" spans="7:7" x14ac:dyDescent="0.3">
      <c r="G316" s="4"/>
    </row>
    <row r="317" spans="7:7" x14ac:dyDescent="0.3">
      <c r="G317" s="4"/>
    </row>
    <row r="318" spans="7:7" x14ac:dyDescent="0.3">
      <c r="G318" s="4"/>
    </row>
    <row r="319" spans="7:7" x14ac:dyDescent="0.3">
      <c r="G319" s="4"/>
    </row>
    <row r="320" spans="7:7" x14ac:dyDescent="0.3">
      <c r="G320" s="4"/>
    </row>
    <row r="321" spans="7:7" x14ac:dyDescent="0.3">
      <c r="G321" s="4"/>
    </row>
    <row r="322" spans="7:7" x14ac:dyDescent="0.3">
      <c r="G322" s="4"/>
    </row>
    <row r="323" spans="7:7" x14ac:dyDescent="0.3">
      <c r="G323" s="4"/>
    </row>
    <row r="324" spans="7:7" x14ac:dyDescent="0.3">
      <c r="G324" s="4"/>
    </row>
    <row r="325" spans="7:7" x14ac:dyDescent="0.3">
      <c r="G325" s="4"/>
    </row>
    <row r="326" spans="7:7" x14ac:dyDescent="0.3">
      <c r="G326" s="4"/>
    </row>
    <row r="327" spans="7:7" x14ac:dyDescent="0.3">
      <c r="G327" s="4"/>
    </row>
    <row r="328" spans="7:7" x14ac:dyDescent="0.3">
      <c r="G328" s="4"/>
    </row>
    <row r="329" spans="7:7" x14ac:dyDescent="0.3">
      <c r="G329" s="4"/>
    </row>
    <row r="330" spans="7:7" x14ac:dyDescent="0.3">
      <c r="G330" s="4"/>
    </row>
    <row r="331" spans="7:7" x14ac:dyDescent="0.3">
      <c r="G331" s="4"/>
    </row>
    <row r="332" spans="7:7" x14ac:dyDescent="0.3">
      <c r="G332" s="4"/>
    </row>
    <row r="333" spans="7:7" x14ac:dyDescent="0.3">
      <c r="G333" s="4"/>
    </row>
    <row r="334" spans="7:7" x14ac:dyDescent="0.3">
      <c r="G334" s="4"/>
    </row>
    <row r="335" spans="7:7" x14ac:dyDescent="0.3">
      <c r="G335" s="4"/>
    </row>
    <row r="336" spans="7:7" x14ac:dyDescent="0.3">
      <c r="G336" s="4"/>
    </row>
    <row r="337" spans="7:7" x14ac:dyDescent="0.3">
      <c r="G337" s="4"/>
    </row>
    <row r="338" spans="7:7" x14ac:dyDescent="0.3">
      <c r="G338" s="4"/>
    </row>
    <row r="339" spans="7:7" x14ac:dyDescent="0.3">
      <c r="G339" s="4"/>
    </row>
    <row r="340" spans="7:7" x14ac:dyDescent="0.3">
      <c r="G340" s="4"/>
    </row>
    <row r="341" spans="7:7" x14ac:dyDescent="0.3">
      <c r="G341" s="4"/>
    </row>
    <row r="342" spans="7:7" x14ac:dyDescent="0.3">
      <c r="G342" s="4"/>
    </row>
    <row r="343" spans="7:7" x14ac:dyDescent="0.3">
      <c r="G343" s="4"/>
    </row>
    <row r="344" spans="7:7" x14ac:dyDescent="0.3">
      <c r="G344" s="4"/>
    </row>
    <row r="345" spans="7:7" x14ac:dyDescent="0.3">
      <c r="G345" s="4"/>
    </row>
    <row r="346" spans="7:7" x14ac:dyDescent="0.3">
      <c r="G346" s="4"/>
    </row>
    <row r="347" spans="7:7" x14ac:dyDescent="0.3">
      <c r="G347" s="4"/>
    </row>
    <row r="348" spans="7:7" x14ac:dyDescent="0.3">
      <c r="G348" s="4"/>
    </row>
    <row r="349" spans="7:7" x14ac:dyDescent="0.3">
      <c r="G349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34644</dc:creator>
  <cp:lastModifiedBy>Marcos Bonilla</cp:lastModifiedBy>
  <dcterms:created xsi:type="dcterms:W3CDTF">2015-06-05T18:19:34Z</dcterms:created>
  <dcterms:modified xsi:type="dcterms:W3CDTF">2025-11-07T15:06:31Z</dcterms:modified>
</cp:coreProperties>
</file>